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rosa/Documents/Viaggi/NORWAY2027/"/>
    </mc:Choice>
  </mc:AlternateContent>
  <xr:revisionPtr revIDLastSave="0" documentId="13_ncr:1_{048878A1-BE98-D24A-8746-EBBE5703477C}" xr6:coauthVersionLast="47" xr6:coauthVersionMax="47" xr10:uidLastSave="{00000000-0000-0000-0000-000000000000}"/>
  <bookViews>
    <workbookView xWindow="20" yWindow="600" windowWidth="28800" windowHeight="16400" xr2:uid="{A3E9233F-2847-4D4B-8AC7-4276DBD91C70}"/>
  </bookViews>
  <sheets>
    <sheet name="Tromso 17-24feb27" sheetId="15" r:id="rId1"/>
    <sheet name="Quanti siamo" sheetId="14" r:id="rId2"/>
    <sheet name="Tromso 18-25feb26 consuntivo" sheetId="16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6" l="1"/>
  <c r="J11" i="16"/>
  <c r="E42" i="16"/>
  <c r="I40" i="16"/>
  <c r="J40" i="16" s="1"/>
  <c r="I39" i="16"/>
  <c r="J39" i="16" s="1"/>
  <c r="I38" i="16"/>
  <c r="J38" i="16" s="1"/>
  <c r="I37" i="16"/>
  <c r="J37" i="16" s="1"/>
  <c r="I36" i="16"/>
  <c r="J36" i="16" s="1"/>
  <c r="I35" i="16"/>
  <c r="J35" i="16" s="1"/>
  <c r="I34" i="16"/>
  <c r="J34" i="16" s="1"/>
  <c r="I33" i="16"/>
  <c r="J33" i="16" s="1"/>
  <c r="I32" i="16"/>
  <c r="J32" i="16" s="1"/>
  <c r="I31" i="16"/>
  <c r="J31" i="16" s="1"/>
  <c r="I30" i="16"/>
  <c r="J30" i="16" s="1"/>
  <c r="I29" i="16"/>
  <c r="J29" i="16" s="1"/>
  <c r="I28" i="16"/>
  <c r="J28" i="16" s="1"/>
  <c r="I27" i="16"/>
  <c r="J27" i="16" s="1"/>
  <c r="I26" i="16"/>
  <c r="J26" i="16" s="1"/>
  <c r="I25" i="16"/>
  <c r="J25" i="16" s="1"/>
  <c r="I24" i="16"/>
  <c r="J24" i="16" s="1"/>
  <c r="I23" i="16"/>
  <c r="J23" i="16" s="1"/>
  <c r="I22" i="16"/>
  <c r="J22" i="16" s="1"/>
  <c r="I21" i="16"/>
  <c r="J21" i="16" s="1"/>
  <c r="I20" i="16"/>
  <c r="J20" i="16" s="1"/>
  <c r="I19" i="16"/>
  <c r="J19" i="16" s="1"/>
  <c r="I18" i="16"/>
  <c r="J18" i="16" s="1"/>
  <c r="I17" i="16"/>
  <c r="J17" i="16" s="1"/>
  <c r="I16" i="16"/>
  <c r="J16" i="16" s="1"/>
  <c r="I15" i="16"/>
  <c r="J15" i="16" s="1"/>
  <c r="I14" i="16"/>
  <c r="J14" i="16" s="1"/>
  <c r="I13" i="16"/>
  <c r="J13" i="16" s="1"/>
  <c r="I12" i="16"/>
  <c r="J12" i="16" s="1"/>
  <c r="K12" i="16" s="1"/>
  <c r="I11" i="16"/>
  <c r="I10" i="16"/>
  <c r="J10" i="16" s="1"/>
  <c r="E9" i="16"/>
  <c r="I9" i="16" s="1"/>
  <c r="I8" i="16"/>
  <c r="J8" i="16" s="1"/>
  <c r="E8" i="16"/>
  <c r="I7" i="16"/>
  <c r="J7" i="16" s="1"/>
  <c r="I6" i="16"/>
  <c r="J6" i="16" s="1"/>
  <c r="I5" i="16"/>
  <c r="J5" i="16" s="1"/>
  <c r="I4" i="16"/>
  <c r="J4" i="16" s="1"/>
  <c r="I3" i="16"/>
  <c r="J3" i="16" s="1"/>
  <c r="P2" i="16"/>
  <c r="J2" i="16"/>
  <c r="I2" i="16"/>
  <c r="E9" i="15"/>
  <c r="J9" i="16" l="1"/>
  <c r="K8" i="16" s="1"/>
  <c r="I42" i="16"/>
  <c r="M2" i="16"/>
  <c r="N2" i="16" s="1"/>
  <c r="J42" i="16"/>
  <c r="K2" i="16"/>
  <c r="M16" i="16"/>
  <c r="O17" i="16"/>
  <c r="I12" i="15"/>
  <c r="P2" i="15"/>
  <c r="O17" i="15" s="1"/>
  <c r="M16" i="15" l="1"/>
  <c r="I40" i="15" l="1"/>
  <c r="J40" i="15" s="1"/>
  <c r="I39" i="15"/>
  <c r="J39" i="15" s="1"/>
  <c r="I38" i="15"/>
  <c r="J38" i="15" s="1"/>
  <c r="I37" i="15"/>
  <c r="J37" i="15" s="1"/>
  <c r="I36" i="15"/>
  <c r="J36" i="15" s="1"/>
  <c r="I35" i="15"/>
  <c r="J35" i="15" s="1"/>
  <c r="I34" i="15"/>
  <c r="J34" i="15" s="1"/>
  <c r="I33" i="15"/>
  <c r="J33" i="15" s="1"/>
  <c r="I32" i="15"/>
  <c r="J32" i="15" s="1"/>
  <c r="I31" i="15"/>
  <c r="J31" i="15" s="1"/>
  <c r="I30" i="15"/>
  <c r="J30" i="15" s="1"/>
  <c r="I29" i="15"/>
  <c r="J29" i="15" s="1"/>
  <c r="I28" i="15"/>
  <c r="J28" i="15" s="1"/>
  <c r="I27" i="15"/>
  <c r="J27" i="15" s="1"/>
  <c r="I26" i="15"/>
  <c r="J26" i="15" s="1"/>
  <c r="I25" i="15"/>
  <c r="J25" i="15" s="1"/>
  <c r="I24" i="15"/>
  <c r="J24" i="15" s="1"/>
  <c r="I23" i="15"/>
  <c r="J23" i="15" s="1"/>
  <c r="I22" i="15"/>
  <c r="J22" i="15" s="1"/>
  <c r="I21" i="15"/>
  <c r="J21" i="15" s="1"/>
  <c r="I20" i="15"/>
  <c r="J20" i="15" s="1"/>
  <c r="I19" i="15"/>
  <c r="J19" i="15" s="1"/>
  <c r="I18" i="15"/>
  <c r="I17" i="15"/>
  <c r="J17" i="15" s="1"/>
  <c r="I16" i="15"/>
  <c r="J16" i="15" s="1"/>
  <c r="I15" i="15"/>
  <c r="I14" i="15"/>
  <c r="J14" i="15" s="1"/>
  <c r="I13" i="15"/>
  <c r="J13" i="15" s="1"/>
  <c r="I11" i="15"/>
  <c r="J11" i="15" s="1"/>
  <c r="I10" i="15"/>
  <c r="J10" i="15" s="1"/>
  <c r="I8" i="15"/>
  <c r="J8" i="15" s="1"/>
  <c r="I7" i="15"/>
  <c r="J7" i="15" s="1"/>
  <c r="I6" i="15"/>
  <c r="J6" i="15" s="1"/>
  <c r="I5" i="15"/>
  <c r="I4" i="15"/>
  <c r="I3" i="15"/>
  <c r="J3" i="15" s="1"/>
  <c r="I2" i="15"/>
  <c r="J2" i="15" s="1"/>
  <c r="C9" i="14"/>
  <c r="B1" i="14"/>
  <c r="C4" i="14"/>
  <c r="C5" i="14"/>
  <c r="C6" i="14"/>
  <c r="C7" i="14"/>
  <c r="C8" i="14"/>
  <c r="C10" i="14"/>
  <c r="C11" i="14"/>
  <c r="C12" i="14"/>
  <c r="C13" i="14"/>
  <c r="C14" i="14"/>
  <c r="C15" i="14"/>
  <c r="C16" i="14"/>
  <c r="C3" i="14"/>
  <c r="C1" i="14" l="1"/>
  <c r="J5" i="15" l="1"/>
  <c r="J15" i="15"/>
  <c r="J12" i="15"/>
  <c r="J4" i="15"/>
  <c r="J18" i="15"/>
  <c r="K2" i="15" l="1"/>
  <c r="K12" i="15"/>
  <c r="I9" i="15" l="1"/>
  <c r="M2" i="15" s="1"/>
  <c r="N2" i="15" s="1"/>
  <c r="E42" i="15"/>
  <c r="J9" i="15" l="1"/>
  <c r="J42" i="15" s="1"/>
  <c r="I42" i="15"/>
  <c r="K8" i="15" l="1"/>
</calcChain>
</file>

<file path=xl/sharedStrings.xml><?xml version="1.0" encoding="utf-8"?>
<sst xmlns="http://schemas.openxmlformats.org/spreadsheetml/2006/main" count="280" uniqueCount="75">
  <si>
    <t>Categorie</t>
  </si>
  <si>
    <t>Spesa</t>
  </si>
  <si>
    <t>Descrizione</t>
  </si>
  <si>
    <t>Costo</t>
  </si>
  <si>
    <t>Valuta</t>
  </si>
  <si>
    <t>Seleziona</t>
  </si>
  <si>
    <t>Costo a testa</t>
  </si>
  <si>
    <t>Bilancio totale</t>
  </si>
  <si>
    <t>A testa</t>
  </si>
  <si>
    <t>Partecipanti</t>
  </si>
  <si>
    <t>Auto</t>
  </si>
  <si>
    <t>Generali</t>
  </si>
  <si>
    <t>CASA</t>
  </si>
  <si>
    <t>EUR</t>
  </si>
  <si>
    <t>Viaggio</t>
  </si>
  <si>
    <t>VOLI</t>
  </si>
  <si>
    <t>x</t>
  </si>
  <si>
    <t>Data</t>
  </si>
  <si>
    <t>costo</t>
  </si>
  <si>
    <t>Bagaglio sportivo</t>
  </si>
  <si>
    <t>PARK</t>
  </si>
  <si>
    <t>Parcheggio</t>
  </si>
  <si>
    <t>Polizza</t>
  </si>
  <si>
    <t>Polizza infortuni</t>
  </si>
  <si>
    <t xml:space="preserve">Auto 1  </t>
  </si>
  <si>
    <t>Auto 1 assicurazione</t>
  </si>
  <si>
    <t>Auto 1 additional driver</t>
  </si>
  <si>
    <t>AUTO 2</t>
  </si>
  <si>
    <t>Auto 2</t>
  </si>
  <si>
    <t>Auto 2 assicurazione</t>
  </si>
  <si>
    <t>Auto 2 Additional driver</t>
  </si>
  <si>
    <t>AUTO 3</t>
  </si>
  <si>
    <t xml:space="preserve"> </t>
  </si>
  <si>
    <t>Tromso</t>
  </si>
  <si>
    <t>Luogo</t>
  </si>
  <si>
    <t>Auto 3</t>
  </si>
  <si>
    <t>Auto 3 assicurazione</t>
  </si>
  <si>
    <t>Auto 3 Additional driver</t>
  </si>
  <si>
    <t>AUTO 1</t>
  </si>
  <si>
    <t>Chi ha speso</t>
  </si>
  <si>
    <t>Lara</t>
  </si>
  <si>
    <t>Davide</t>
  </si>
  <si>
    <t>Rampo</t>
  </si>
  <si>
    <t>Da Torino</t>
  </si>
  <si>
    <t>Ivan</t>
  </si>
  <si>
    <t>Viaggio Torino - aeroporto</t>
  </si>
  <si>
    <t>Malpensa</t>
  </si>
  <si>
    <t>Volo Easyjet Malpensa</t>
  </si>
  <si>
    <t>VOLI EASYJET MALPENSA</t>
  </si>
  <si>
    <t>https://www.airbnb.com/rooms/3497688?adults=6&amp;check_in=2026-02-11&amp;check_out=2026-02-18&amp;search_mode=regular_search&amp;source_impression_id=p3_1742304243_P34ZX8iBUGVM4d_L&amp;previous_page_section_name=1000&amp;federated_search_id=dad0f99d-fd91-490c-b700-c0c4523172b5</t>
  </si>
  <si>
    <t>link</t>
  </si>
  <si>
    <t>Tromso airbnb casa da 6</t>
  </si>
  <si>
    <t>Tromso airbnb casa da 8</t>
  </si>
  <si>
    <t>Sicuri</t>
  </si>
  <si>
    <t>conta</t>
  </si>
  <si>
    <t>Ilaria</t>
  </si>
  <si>
    <t>Lorenzo</t>
  </si>
  <si>
    <t>Max</t>
  </si>
  <si>
    <t>Anna</t>
  </si>
  <si>
    <t>Marco</t>
  </si>
  <si>
    <t>Giorgia</t>
  </si>
  <si>
    <t>https://www.airbnb.com/rooms/1210914469594286470?adults=8&amp;check_in=2026-02-18&amp;check_out=2026-02-25&amp;search_mode=regular_search&amp;source_impression_id=p3_1744014878_P33Yi2tdma8dOVQW&amp;previous_page_section_name=1000&amp;federated_search_id=803efe8b-127e-4c99-aef4-638c7f79740c</t>
  </si>
  <si>
    <t>Tromso airbnb casa da 2</t>
  </si>
  <si>
    <t>https://www.airbnb.com/s/Kvaløya--Tromsø-Municipality--Norway/homes?refinement_paths%5B%5D=%2Fhomes&amp;flexible_trip_lengths%5B%5D=one_week&amp;monthly_start_date=2025-05-01&amp;monthly_length=3&amp;monthly_end_date=2025-08-01&amp;price_filter_input_type=0&amp;channel=EXPLORE&amp;place_id=ChIJJRRFgwG5xEURIS-3GiqDsyc&amp;acp_id=dc207096-b481-435c-9b8a-e287052ea42d&amp;date_picker_type=calendar&amp;checkin=2026-02-18&amp;checkout=2026-02-25&amp;adults=2&amp;source=structured_search_input_header&amp;search_type=user_map_move&amp;query=Kvaløya%2C%20Tromsø%20Municipality%2C%20Norway&amp;search_mode=regular_search&amp;price_filter_num_nights=7&amp;ne_lat=69.62324407511616&amp;ne_lng=18.35642041042246&amp;sw_lat=69.57066819922085&amp;sw_lng=18.252648141941734&amp;zoom=12.517958589574892&amp;zoom_level=12.517958589574892&amp;search_by_map=true</t>
  </si>
  <si>
    <t>https://www.airbnb.com/rooms/1369595402014278137?adults=3&amp;check_in=2026-02-18&amp;check_out=2026-02-25&amp;search_mode=regular_search&amp;source_impression_id=p3_1744033199_P3PeE9Ec55hzPJF2&amp;previous_page_section_name=1000&amp;federated_search_id=c9446b33-824f-46e9-bfdc-1a9aaf1d0b85</t>
  </si>
  <si>
    <t>Tromso airbnb casa da 4</t>
  </si>
  <si>
    <t>OVERWRITE</t>
  </si>
  <si>
    <t>Assicurazione</t>
  </si>
  <si>
    <t>Donna di Ivan</t>
  </si>
  <si>
    <t>Dav</t>
  </si>
  <si>
    <t>sauna</t>
  </si>
  <si>
    <t>Tromso airbnb casa da 7</t>
  </si>
  <si>
    <t>Lyngen airbnb casa da 8</t>
  </si>
  <si>
    <t>Lyngen airbnb casa da 7</t>
  </si>
  <si>
    <t>https://www.airbnb.it/rooms/1479049015547427423?adults=8&amp;check_in=2027-02-17&amp;check_out=2027-02-24&amp;guests=8&amp;search_mode=regular_search&amp;source_impression_id=p3_1773134478_P3NNdHT8oPlcO6n8&amp;previous_page_section_name=1000&amp;federated_search_id=19937708-74b9-4b28-9304-0a6b2a992285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</si>
</sst>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ddd\ dd/mm/yy\ hh:mm"/>
    <numFmt numFmtId="167" formatCode="_-* #,##0_-;\-* #,##0_-;_-* &quot;-&quot;??_-;_-@_-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3" fillId="2" borderId="1" xfId="2" applyFont="1" applyFill="1" applyBorder="1" applyAlignment="1">
      <alignment horizontal="center"/>
    </xf>
    <xf numFmtId="164" fontId="0" fillId="0" borderId="0" xfId="2" applyFont="1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164" fontId="2" fillId="3" borderId="1" xfId="2" applyFont="1" applyFill="1" applyBorder="1" applyAlignment="1">
      <alignment horizontal="center"/>
    </xf>
    <xf numFmtId="164" fontId="0" fillId="5" borderId="1" xfId="2" applyFont="1" applyFill="1" applyBorder="1"/>
    <xf numFmtId="164" fontId="3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2" applyFont="1" applyBorder="1"/>
    <xf numFmtId="166" fontId="0" fillId="0" borderId="1" xfId="0" applyNumberFormat="1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16" fontId="0" fillId="0" borderId="0" xfId="0" applyNumberFormat="1"/>
    <xf numFmtId="164" fontId="0" fillId="0" borderId="0" xfId="2" applyFont="1" applyBorder="1"/>
    <xf numFmtId="0" fontId="3" fillId="0" borderId="1" xfId="0" applyFont="1" applyBorder="1"/>
    <xf numFmtId="164" fontId="3" fillId="0" borderId="1" xfId="2" applyFont="1" applyBorder="1"/>
    <xf numFmtId="0" fontId="4" fillId="4" borderId="1" xfId="0" applyFont="1" applyFill="1" applyBorder="1" applyAlignment="1">
      <alignment horizontal="center" vertical="center"/>
    </xf>
    <xf numFmtId="164" fontId="4" fillId="4" borderId="1" xfId="2" applyFont="1" applyFill="1" applyBorder="1" applyAlignment="1">
      <alignment horizontal="center" vertical="center"/>
    </xf>
    <xf numFmtId="164" fontId="0" fillId="0" borderId="1" xfId="2" applyFont="1" applyBorder="1" applyAlignment="1">
      <alignment horizontal="center"/>
    </xf>
    <xf numFmtId="164" fontId="0" fillId="0" borderId="0" xfId="0" applyNumberFormat="1"/>
    <xf numFmtId="0" fontId="7" fillId="5" borderId="1" xfId="3" applyFill="1" applyBorder="1"/>
    <xf numFmtId="0" fontId="2" fillId="7" borderId="1" xfId="0" applyFont="1" applyFill="1" applyBorder="1" applyAlignment="1">
      <alignment horizontal="center"/>
    </xf>
    <xf numFmtId="164" fontId="2" fillId="8" borderId="1" xfId="2" applyFont="1" applyFill="1" applyBorder="1" applyAlignment="1">
      <alignment horizontal="center"/>
    </xf>
    <xf numFmtId="164" fontId="6" fillId="5" borderId="2" xfId="2" applyFont="1" applyFill="1" applyBorder="1" applyAlignment="1">
      <alignment horizontal="center" vertical="center"/>
    </xf>
    <xf numFmtId="164" fontId="6" fillId="5" borderId="3" xfId="2" applyFont="1" applyFill="1" applyBorder="1" applyAlignment="1">
      <alignment horizontal="center" vertical="center"/>
    </xf>
    <xf numFmtId="164" fontId="6" fillId="5" borderId="4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5" fillId="4" borderId="5" xfId="0" applyFont="1" applyFill="1" applyBorder="1" applyAlignment="1">
      <alignment horizontal="center"/>
    </xf>
    <xf numFmtId="164" fontId="0" fillId="0" borderId="1" xfId="2" applyFont="1" applyBorder="1" applyAlignment="1">
      <alignment horizontal="center" vertical="center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NORWAY%2026/Norway%202026.xlsx" TargetMode="External"/><Relationship Id="rId2" Type="http://schemas.openxmlformats.org/officeDocument/2006/relationships/externalLinkPath" Target="/Users/daviderosa/Documents/Viaggi/NORWAY%2026/Norway%202026.xlsx" TargetMode="External"/><Relationship Id="rId1" Type="http://schemas.openxmlformats.org/officeDocument/2006/relationships/externalLinkPath" Target="/Users/daviderosa/Documents/Viaggi/NORWAY%2026/Norway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omso 18-25feb26"/>
      <sheetName val="Tromso 18-25feb26 in 9"/>
      <sheetName val="Lofoten 4-11feb26"/>
      <sheetName val="Oslo 18-25feb26"/>
      <sheetName val="Quanti siamo"/>
      <sheetName val="Conti"/>
    </sheetNames>
    <sheetDataSet>
      <sheetData sheetId="0"/>
      <sheetData sheetId="1"/>
      <sheetData sheetId="2"/>
      <sheetData sheetId="3"/>
      <sheetData sheetId="4">
        <row r="1">
          <cell r="C1">
            <v>7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rbnb.it/rooms/1479049015547427423?adults=8&amp;check_in=2027-02-17&amp;check_out=2027-02-24&amp;guests=8&amp;search_mode=regular_search&amp;source_impression_id=p3_1773134478_P3NNdHT8oPlcO6n8&amp;previous_page_section_name=1000&amp;federated_search_id=19937708-74b9-4b28-9304-0a6b2a99228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irbnb.com/rooms/1369595402014278137?adults=3&amp;check_in=2026-02-18&amp;check_out=2026-02-25&amp;search_mode=regular_search&amp;source_impression_id=p3_1744033199_P3PeE9Ec55hzPJF2&amp;previous_page_section_name=1000&amp;federated_search_id=c9446b33-824f-46e9-bfdc-1a9aaf1d0b85" TargetMode="External"/><Relationship Id="rId2" Type="http://schemas.openxmlformats.org/officeDocument/2006/relationships/hyperlink" Target="https://www.airbnb.com/rooms/1369595402014278137?adults=3&amp;check_in=2026-02-18&amp;check_out=2026-02-25&amp;search_mode=regular_search&amp;source_impression_id=p3_1744033199_P3PeE9Ec55hzPJF2&amp;previous_page_section_name=1000&amp;federated_search_id=c9446b33-824f-46e9-bfdc-1a9aaf1d0b85" TargetMode="External"/><Relationship Id="rId1" Type="http://schemas.openxmlformats.org/officeDocument/2006/relationships/hyperlink" Target="https://www.airbnb.com/rooms/1210914469594286470?adults=8&amp;check_in=2026-02-18&amp;check_out=2026-02-25&amp;search_mode=regular_search&amp;source_impression_id=p3_1744014878_P33Yi2tdma8dOVQW&amp;previous_page_section_name=1000&amp;federated_search_id=803efe8b-127e-4c99-aef4-638c7f7974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B412-368B-D14F-A063-CFF937511E7D}">
  <sheetPr>
    <tabColor theme="9" tint="0.59999389629810485"/>
  </sheetPr>
  <dimension ref="A1:R42"/>
  <sheetViews>
    <sheetView tabSelected="1" workbookViewId="0">
      <selection activeCell="E3" sqref="E3"/>
    </sheetView>
  </sheetViews>
  <sheetFormatPr baseColWidth="10" defaultRowHeight="16" x14ac:dyDescent="0.2"/>
  <cols>
    <col min="2" max="2" width="10.1640625" customWidth="1"/>
    <col min="3" max="3" width="27.6640625" bestFit="1" customWidth="1"/>
    <col min="4" max="4" width="11.83203125" customWidth="1"/>
    <col min="5" max="5" width="12" bestFit="1" customWidth="1"/>
    <col min="8" max="8" width="10.83203125" style="10"/>
    <col min="9" max="9" width="10.83203125" style="4"/>
    <col min="10" max="10" width="13.1640625" style="4" bestFit="1" customWidth="1"/>
    <col min="12" max="12" width="3.5" customWidth="1"/>
    <col min="13" max="13" width="17.33203125" customWidth="1"/>
    <col min="14" max="14" width="17.83203125" style="10" customWidth="1"/>
    <col min="15" max="15" width="10.83203125" style="4"/>
    <col min="17" max="17" width="3.6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50</v>
      </c>
      <c r="E1" s="2" t="s">
        <v>3</v>
      </c>
      <c r="F1" s="3" t="s">
        <v>4</v>
      </c>
      <c r="G1" s="3" t="s">
        <v>39</v>
      </c>
      <c r="H1" s="2" t="s">
        <v>5</v>
      </c>
      <c r="I1" s="3" t="s">
        <v>3</v>
      </c>
      <c r="J1" s="3" t="s">
        <v>6</v>
      </c>
      <c r="M1" s="3" t="s">
        <v>7</v>
      </c>
      <c r="N1" s="3" t="s">
        <v>8</v>
      </c>
      <c r="P1" s="5" t="s">
        <v>9</v>
      </c>
      <c r="R1" s="5" t="s">
        <v>66</v>
      </c>
    </row>
    <row r="2" spans="1:18" x14ac:dyDescent="0.2">
      <c r="A2" s="6" t="s">
        <v>11</v>
      </c>
      <c r="B2" s="6" t="s">
        <v>12</v>
      </c>
      <c r="C2" s="6" t="s">
        <v>71</v>
      </c>
      <c r="D2" s="6"/>
      <c r="E2" s="7">
        <v>1180</v>
      </c>
      <c r="F2" s="8" t="s">
        <v>13</v>
      </c>
      <c r="G2" s="8"/>
      <c r="H2" s="2" t="s">
        <v>16</v>
      </c>
      <c r="I2" s="8">
        <f t="shared" ref="I2:I40" si="0">IF(H2="x",E2,"")</f>
        <v>1180</v>
      </c>
      <c r="J2" s="8">
        <f>IF(H2&lt;&gt;"",I2/$P$2,"")</f>
        <v>168.57142857142858</v>
      </c>
      <c r="K2" s="27">
        <f>SUM(J2:J7)</f>
        <v>168.57142857142858</v>
      </c>
      <c r="M2" s="9">
        <f>SUM(I2:I41)</f>
        <v>1180</v>
      </c>
      <c r="N2" s="9">
        <f>M2/$P$2</f>
        <v>168.57142857142858</v>
      </c>
      <c r="P2" s="2">
        <f>IF(R2&lt;&gt;"",R2,'Quanti siamo'!C1)</f>
        <v>7</v>
      </c>
      <c r="R2" s="25"/>
    </row>
    <row r="3" spans="1:18" x14ac:dyDescent="0.2">
      <c r="A3" s="6" t="s">
        <v>14</v>
      </c>
      <c r="B3" s="6" t="s">
        <v>12</v>
      </c>
      <c r="C3" s="6" t="s">
        <v>52</v>
      </c>
      <c r="D3" s="6"/>
      <c r="E3" s="7">
        <v>1180</v>
      </c>
      <c r="F3" s="8" t="s">
        <v>13</v>
      </c>
      <c r="G3" s="8"/>
      <c r="H3" s="2"/>
      <c r="I3" s="8" t="str">
        <f t="shared" si="0"/>
        <v/>
      </c>
      <c r="J3" s="8" t="str">
        <f t="shared" ref="J3:J9" si="1">IF(I3&lt;&gt;"",I3/$P$2,"")</f>
        <v/>
      </c>
      <c r="K3" s="28"/>
    </row>
    <row r="4" spans="1:18" x14ac:dyDescent="0.2">
      <c r="A4" s="6" t="s">
        <v>14</v>
      </c>
      <c r="B4" s="6" t="s">
        <v>12</v>
      </c>
      <c r="C4" s="6" t="s">
        <v>72</v>
      </c>
      <c r="D4" s="24"/>
      <c r="E4" s="7">
        <v>1482</v>
      </c>
      <c r="F4" s="8" t="s">
        <v>13</v>
      </c>
      <c r="G4" s="8" t="s">
        <v>69</v>
      </c>
      <c r="H4" s="2"/>
      <c r="I4" s="8" t="str">
        <f t="shared" si="0"/>
        <v/>
      </c>
      <c r="J4" s="8" t="str">
        <f t="shared" si="1"/>
        <v/>
      </c>
      <c r="K4" s="28"/>
      <c r="N4" s="5" t="s">
        <v>67</v>
      </c>
      <c r="O4" s="5" t="s">
        <v>43</v>
      </c>
      <c r="P4" s="5" t="s">
        <v>10</v>
      </c>
    </row>
    <row r="5" spans="1:18" x14ac:dyDescent="0.2">
      <c r="A5" s="6" t="s">
        <v>14</v>
      </c>
      <c r="B5" s="6" t="s">
        <v>12</v>
      </c>
      <c r="C5" s="6" t="s">
        <v>73</v>
      </c>
      <c r="D5" s="24" t="s">
        <v>74</v>
      </c>
      <c r="E5" s="7">
        <v>1482</v>
      </c>
      <c r="F5" s="8" t="s">
        <v>13</v>
      </c>
      <c r="G5" s="8"/>
      <c r="H5" s="2"/>
      <c r="I5" s="8" t="str">
        <f t="shared" si="0"/>
        <v/>
      </c>
      <c r="J5" s="8" t="str">
        <f t="shared" si="1"/>
        <v/>
      </c>
      <c r="K5" s="28"/>
      <c r="N5" s="2"/>
      <c r="O5" s="2">
        <v>5</v>
      </c>
      <c r="P5" s="2">
        <v>2</v>
      </c>
    </row>
    <row r="6" spans="1:18" x14ac:dyDescent="0.2">
      <c r="A6" s="6" t="s">
        <v>14</v>
      </c>
      <c r="B6" s="6" t="s">
        <v>12</v>
      </c>
      <c r="C6" s="6"/>
      <c r="D6" s="24"/>
      <c r="E6" s="7"/>
      <c r="F6" s="8" t="s">
        <v>13</v>
      </c>
      <c r="G6" s="8"/>
      <c r="H6" s="2"/>
      <c r="I6" s="8" t="str">
        <f t="shared" si="0"/>
        <v/>
      </c>
      <c r="J6" s="8" t="str">
        <f t="shared" si="1"/>
        <v/>
      </c>
      <c r="K6" s="28"/>
      <c r="N6" s="2"/>
    </row>
    <row r="7" spans="1:18" x14ac:dyDescent="0.2">
      <c r="A7" s="6" t="s">
        <v>14</v>
      </c>
      <c r="B7" s="6" t="s">
        <v>12</v>
      </c>
      <c r="C7" s="6"/>
      <c r="D7" s="24"/>
      <c r="E7" s="7"/>
      <c r="F7" s="8" t="s">
        <v>13</v>
      </c>
      <c r="G7" s="8"/>
      <c r="H7" s="2"/>
      <c r="I7" s="8" t="str">
        <f t="shared" si="0"/>
        <v/>
      </c>
      <c r="J7" s="8" t="str">
        <f t="shared" si="1"/>
        <v/>
      </c>
      <c r="K7" s="29"/>
      <c r="M7" s="16"/>
    </row>
    <row r="8" spans="1:18" x14ac:dyDescent="0.2">
      <c r="A8" s="6" t="s">
        <v>14</v>
      </c>
      <c r="B8" s="6" t="s">
        <v>15</v>
      </c>
      <c r="C8" s="6"/>
      <c r="D8" s="6"/>
      <c r="E8" s="7"/>
      <c r="F8" s="8" t="s">
        <v>13</v>
      </c>
      <c r="G8" s="8"/>
      <c r="H8" s="2"/>
      <c r="I8" s="8" t="str">
        <f t="shared" si="0"/>
        <v/>
      </c>
      <c r="J8" s="8" t="str">
        <f t="shared" si="1"/>
        <v/>
      </c>
      <c r="K8" s="27">
        <f>SUM(J8:J9)</f>
        <v>0</v>
      </c>
      <c r="M8" s="32" t="s">
        <v>48</v>
      </c>
      <c r="N8" s="32"/>
      <c r="O8" s="32"/>
    </row>
    <row r="9" spans="1:18" x14ac:dyDescent="0.2">
      <c r="A9" s="6" t="s">
        <v>14</v>
      </c>
      <c r="B9" s="6" t="s">
        <v>15</v>
      </c>
      <c r="C9" s="6" t="s">
        <v>47</v>
      </c>
      <c r="D9" s="6"/>
      <c r="E9" s="26">
        <f>O16</f>
        <v>0</v>
      </c>
      <c r="F9" s="8" t="s">
        <v>13</v>
      </c>
      <c r="G9" s="8" t="s">
        <v>55</v>
      </c>
      <c r="H9" s="2"/>
      <c r="I9" s="8" t="str">
        <f t="shared" si="0"/>
        <v/>
      </c>
      <c r="J9" s="8" t="str">
        <f t="shared" si="1"/>
        <v/>
      </c>
      <c r="K9" s="29"/>
      <c r="M9" s="20" t="s">
        <v>34</v>
      </c>
      <c r="N9" s="20" t="s">
        <v>17</v>
      </c>
      <c r="O9" s="21" t="s">
        <v>18</v>
      </c>
    </row>
    <row r="10" spans="1:18" x14ac:dyDescent="0.2">
      <c r="A10" s="11" t="s">
        <v>11</v>
      </c>
      <c r="B10" s="11" t="s">
        <v>20</v>
      </c>
      <c r="C10" s="11" t="s">
        <v>21</v>
      </c>
      <c r="D10" s="11"/>
      <c r="E10" s="7"/>
      <c r="F10" s="13" t="s">
        <v>13</v>
      </c>
      <c r="G10" s="13"/>
      <c r="H10" s="2"/>
      <c r="I10" s="13" t="str">
        <f t="shared" si="0"/>
        <v/>
      </c>
      <c r="J10" s="8" t="str">
        <f>IF(I10&lt;&gt;"",I10/$O$5,"")</f>
        <v/>
      </c>
      <c r="M10" s="11" t="s">
        <v>46</v>
      </c>
      <c r="N10" s="14">
        <v>46071.354166666664</v>
      </c>
      <c r="O10" s="33"/>
    </row>
    <row r="11" spans="1:18" x14ac:dyDescent="0.2">
      <c r="A11" s="11" t="s">
        <v>11</v>
      </c>
      <c r="B11" s="11" t="s">
        <v>22</v>
      </c>
      <c r="C11" s="11" t="s">
        <v>23</v>
      </c>
      <c r="D11" s="11"/>
      <c r="E11" s="7"/>
      <c r="F11" s="13" t="s">
        <v>13</v>
      </c>
      <c r="G11" s="13"/>
      <c r="H11" s="2"/>
      <c r="I11" s="13" t="str">
        <f t="shared" si="0"/>
        <v/>
      </c>
      <c r="J11" s="8" t="str">
        <f t="shared" ref="J11:J20" si="2">IF(I11&lt;&gt;"",I11/$P$2,"")</f>
        <v/>
      </c>
      <c r="M11" s="11" t="s">
        <v>33</v>
      </c>
      <c r="N11" s="14">
        <v>46071.524305555555</v>
      </c>
      <c r="O11" s="33"/>
    </row>
    <row r="12" spans="1:18" x14ac:dyDescent="0.2">
      <c r="A12" s="11" t="s">
        <v>10</v>
      </c>
      <c r="B12" s="31" t="s">
        <v>38</v>
      </c>
      <c r="C12" s="11" t="s">
        <v>24</v>
      </c>
      <c r="D12" s="11"/>
      <c r="E12" s="26"/>
      <c r="F12" s="13" t="s">
        <v>13</v>
      </c>
      <c r="G12" s="13"/>
      <c r="H12" s="2"/>
      <c r="I12" s="13" t="str">
        <f t="shared" si="0"/>
        <v/>
      </c>
      <c r="J12" s="8" t="str">
        <f t="shared" si="2"/>
        <v/>
      </c>
      <c r="K12" s="27">
        <f>SUM(J12:J20)</f>
        <v>0</v>
      </c>
      <c r="M12" s="11" t="s">
        <v>33</v>
      </c>
      <c r="N12" s="14">
        <v>46078.559027777781</v>
      </c>
      <c r="O12" s="33"/>
    </row>
    <row r="13" spans="1:18" x14ac:dyDescent="0.2">
      <c r="A13" s="11" t="s">
        <v>10</v>
      </c>
      <c r="B13" s="31"/>
      <c r="C13" s="11" t="s">
        <v>25</v>
      </c>
      <c r="D13" s="11"/>
      <c r="E13" s="7"/>
      <c r="F13" s="13" t="s">
        <v>13</v>
      </c>
      <c r="G13" s="13"/>
      <c r="H13" s="2"/>
      <c r="I13" s="13" t="str">
        <f t="shared" si="0"/>
        <v/>
      </c>
      <c r="J13" s="8" t="str">
        <f t="shared" si="2"/>
        <v/>
      </c>
      <c r="K13" s="28"/>
      <c r="M13" s="11" t="s">
        <v>46</v>
      </c>
      <c r="N13" s="14">
        <v>46078.729166666664</v>
      </c>
      <c r="O13" s="33"/>
    </row>
    <row r="14" spans="1:18" x14ac:dyDescent="0.2">
      <c r="A14" s="11" t="s">
        <v>10</v>
      </c>
      <c r="B14" s="31"/>
      <c r="C14" s="11" t="s">
        <v>26</v>
      </c>
      <c r="D14" s="11"/>
      <c r="E14" s="7"/>
      <c r="F14" s="13" t="s">
        <v>13</v>
      </c>
      <c r="G14" s="13"/>
      <c r="H14" s="2"/>
      <c r="I14" s="13" t="str">
        <f t="shared" si="0"/>
        <v/>
      </c>
      <c r="J14" s="8" t="str">
        <f t="shared" si="2"/>
        <v/>
      </c>
      <c r="K14" s="28"/>
      <c r="M14" s="11" t="s">
        <v>19</v>
      </c>
      <c r="N14" s="15"/>
      <c r="O14" s="13"/>
    </row>
    <row r="15" spans="1:18" x14ac:dyDescent="0.2">
      <c r="A15" s="11" t="s">
        <v>10</v>
      </c>
      <c r="B15" s="31" t="s">
        <v>27</v>
      </c>
      <c r="C15" s="11" t="s">
        <v>28</v>
      </c>
      <c r="D15" s="11"/>
      <c r="E15" s="26"/>
      <c r="F15" s="13" t="s">
        <v>13</v>
      </c>
      <c r="G15" s="13"/>
      <c r="H15" s="2"/>
      <c r="I15" s="13" t="str">
        <f t="shared" si="0"/>
        <v/>
      </c>
      <c r="J15" s="8" t="str">
        <f t="shared" si="2"/>
        <v/>
      </c>
      <c r="K15" s="28"/>
    </row>
    <row r="16" spans="1:18" x14ac:dyDescent="0.2">
      <c r="A16" s="11" t="s">
        <v>10</v>
      </c>
      <c r="B16" s="31"/>
      <c r="C16" s="11" t="s">
        <v>29</v>
      </c>
      <c r="D16" s="11"/>
      <c r="E16" s="7"/>
      <c r="F16" s="13" t="s">
        <v>13</v>
      </c>
      <c r="G16" s="13"/>
      <c r="H16" s="2"/>
      <c r="I16" s="13" t="str">
        <f t="shared" si="0"/>
        <v/>
      </c>
      <c r="J16" s="8" t="str">
        <f t="shared" si="2"/>
        <v/>
      </c>
      <c r="K16" s="28"/>
      <c r="M16" s="30" t="str">
        <f>"Volo "&amp;P2&amp;" persone totale con bagaglio sportivo"</f>
        <v>Volo 7 persone totale con bagaglio sportivo</v>
      </c>
      <c r="N16" s="30"/>
      <c r="O16" s="22"/>
    </row>
    <row r="17" spans="1:15" x14ac:dyDescent="0.2">
      <c r="A17" s="11" t="s">
        <v>10</v>
      </c>
      <c r="B17" s="31"/>
      <c r="C17" s="11" t="s">
        <v>30</v>
      </c>
      <c r="D17" s="11"/>
      <c r="E17" s="7"/>
      <c r="F17" s="13" t="s">
        <v>13</v>
      </c>
      <c r="G17" s="13"/>
      <c r="H17" s="2"/>
      <c r="I17" s="13" t="str">
        <f t="shared" si="0"/>
        <v/>
      </c>
      <c r="J17" s="8" t="str">
        <f t="shared" si="2"/>
        <v/>
      </c>
      <c r="K17" s="28"/>
      <c r="O17" s="4">
        <f>O16/P2</f>
        <v>0</v>
      </c>
    </row>
    <row r="18" spans="1:15" x14ac:dyDescent="0.2">
      <c r="A18" s="11" t="s">
        <v>10</v>
      </c>
      <c r="B18" s="31" t="s">
        <v>31</v>
      </c>
      <c r="C18" s="11" t="s">
        <v>35</v>
      </c>
      <c r="D18" s="11"/>
      <c r="E18" s="7"/>
      <c r="F18" s="13" t="s">
        <v>13</v>
      </c>
      <c r="G18" s="13"/>
      <c r="H18" s="2"/>
      <c r="I18" s="13" t="str">
        <f t="shared" si="0"/>
        <v/>
      </c>
      <c r="J18" s="8" t="str">
        <f t="shared" si="2"/>
        <v/>
      </c>
      <c r="K18" s="28"/>
      <c r="M18" s="23"/>
    </row>
    <row r="19" spans="1:15" x14ac:dyDescent="0.2">
      <c r="A19" s="11" t="s">
        <v>10</v>
      </c>
      <c r="B19" s="31"/>
      <c r="C19" s="11" t="s">
        <v>36</v>
      </c>
      <c r="D19" s="11"/>
      <c r="E19" s="7"/>
      <c r="F19" s="13" t="s">
        <v>13</v>
      </c>
      <c r="G19" s="13"/>
      <c r="H19" s="2"/>
      <c r="I19" s="13" t="str">
        <f t="shared" si="0"/>
        <v/>
      </c>
      <c r="J19" s="8" t="str">
        <f t="shared" si="2"/>
        <v/>
      </c>
      <c r="K19" s="28"/>
    </row>
    <row r="20" spans="1:15" x14ac:dyDescent="0.2">
      <c r="A20" s="11" t="s">
        <v>10</v>
      </c>
      <c r="B20" s="31"/>
      <c r="C20" s="11" t="s">
        <v>37</v>
      </c>
      <c r="D20" s="11"/>
      <c r="E20" s="7"/>
      <c r="F20" s="13" t="s">
        <v>13</v>
      </c>
      <c r="G20" s="13"/>
      <c r="H20" s="2"/>
      <c r="I20" s="13" t="str">
        <f t="shared" si="0"/>
        <v/>
      </c>
      <c r="J20" s="8" t="str">
        <f t="shared" si="2"/>
        <v/>
      </c>
      <c r="K20" s="29"/>
    </row>
    <row r="21" spans="1:15" x14ac:dyDescent="0.2">
      <c r="A21" s="11" t="s">
        <v>10</v>
      </c>
      <c r="B21" s="11"/>
      <c r="C21" s="11" t="s">
        <v>45</v>
      </c>
      <c r="D21" s="11"/>
      <c r="E21" s="7"/>
      <c r="F21" s="13" t="s">
        <v>13</v>
      </c>
      <c r="G21" s="13"/>
      <c r="H21" s="2"/>
      <c r="I21" s="13" t="str">
        <f t="shared" si="0"/>
        <v/>
      </c>
      <c r="J21" s="8" t="str">
        <f>IF(I21&lt;&gt;"",I21/$O$5,"")</f>
        <v/>
      </c>
    </row>
    <row r="22" spans="1:15" x14ac:dyDescent="0.2">
      <c r="A22" s="11"/>
      <c r="B22" s="11"/>
      <c r="C22" s="11"/>
      <c r="D22" s="11"/>
      <c r="E22" s="7"/>
      <c r="F22" s="13" t="s">
        <v>13</v>
      </c>
      <c r="G22" s="13"/>
      <c r="H22" s="2"/>
      <c r="I22" s="13" t="str">
        <f t="shared" si="0"/>
        <v/>
      </c>
      <c r="J22" s="8" t="str">
        <f t="shared" ref="J22:J40" si="3">IF(I22&lt;&gt;"",I22/$P$2,"")</f>
        <v/>
      </c>
    </row>
    <row r="23" spans="1:15" x14ac:dyDescent="0.2">
      <c r="A23" s="11"/>
      <c r="B23" s="11"/>
      <c r="C23" s="11"/>
      <c r="D23" s="11"/>
      <c r="E23" s="7"/>
      <c r="F23" s="13" t="s">
        <v>13</v>
      </c>
      <c r="G23" s="13"/>
      <c r="H23" s="2"/>
      <c r="I23" s="13" t="str">
        <f t="shared" si="0"/>
        <v/>
      </c>
      <c r="J23" s="8" t="str">
        <f t="shared" si="3"/>
        <v/>
      </c>
    </row>
    <row r="24" spans="1:15" x14ac:dyDescent="0.2">
      <c r="A24" s="11"/>
      <c r="B24" s="11"/>
      <c r="C24" s="11"/>
      <c r="D24" s="11"/>
      <c r="E24" s="7"/>
      <c r="F24" s="13" t="s">
        <v>13</v>
      </c>
      <c r="G24" s="13"/>
      <c r="H24" s="2"/>
      <c r="I24" s="13" t="str">
        <f t="shared" si="0"/>
        <v/>
      </c>
      <c r="J24" s="8" t="str">
        <f t="shared" si="3"/>
        <v/>
      </c>
    </row>
    <row r="25" spans="1:15" x14ac:dyDescent="0.2">
      <c r="A25" s="11"/>
      <c r="B25" s="11"/>
      <c r="C25" s="11"/>
      <c r="D25" s="11"/>
      <c r="E25" s="7"/>
      <c r="F25" s="13" t="s">
        <v>13</v>
      </c>
      <c r="G25" s="13"/>
      <c r="H25" s="2"/>
      <c r="I25" s="13" t="str">
        <f t="shared" si="0"/>
        <v/>
      </c>
      <c r="J25" s="8" t="str">
        <f t="shared" si="3"/>
        <v/>
      </c>
    </row>
    <row r="26" spans="1:15" x14ac:dyDescent="0.2">
      <c r="A26" s="11"/>
      <c r="B26" s="11"/>
      <c r="C26" s="11"/>
      <c r="D26" s="11"/>
      <c r="E26" s="7"/>
      <c r="F26" s="13" t="s">
        <v>13</v>
      </c>
      <c r="G26" s="13"/>
      <c r="H26" s="2"/>
      <c r="I26" s="13" t="str">
        <f t="shared" si="0"/>
        <v/>
      </c>
      <c r="J26" s="8" t="str">
        <f t="shared" si="3"/>
        <v/>
      </c>
    </row>
    <row r="27" spans="1:15" x14ac:dyDescent="0.2">
      <c r="A27" s="11"/>
      <c r="B27" s="11"/>
      <c r="C27" s="11"/>
      <c r="D27" s="11"/>
      <c r="E27" s="7"/>
      <c r="F27" s="13" t="s">
        <v>13</v>
      </c>
      <c r="G27" s="13"/>
      <c r="H27" s="2"/>
      <c r="I27" s="13" t="str">
        <f t="shared" si="0"/>
        <v/>
      </c>
      <c r="J27" s="8" t="str">
        <f t="shared" si="3"/>
        <v/>
      </c>
    </row>
    <row r="28" spans="1:15" x14ac:dyDescent="0.2">
      <c r="A28" s="11"/>
      <c r="B28" s="11"/>
      <c r="C28" s="11"/>
      <c r="D28" s="11"/>
      <c r="E28" s="7"/>
      <c r="F28" s="13" t="s">
        <v>13</v>
      </c>
      <c r="G28" s="13"/>
      <c r="H28" s="2"/>
      <c r="I28" s="13" t="str">
        <f t="shared" si="0"/>
        <v/>
      </c>
      <c r="J28" s="8" t="str">
        <f t="shared" si="3"/>
        <v/>
      </c>
    </row>
    <row r="29" spans="1:15" x14ac:dyDescent="0.2">
      <c r="A29" s="11"/>
      <c r="B29" s="11"/>
      <c r="C29" s="11"/>
      <c r="D29" s="11"/>
      <c r="E29" s="7"/>
      <c r="F29" s="13" t="s">
        <v>13</v>
      </c>
      <c r="G29" s="13"/>
      <c r="H29" s="2"/>
      <c r="I29" s="13" t="str">
        <f t="shared" si="0"/>
        <v/>
      </c>
      <c r="J29" s="8" t="str">
        <f t="shared" si="3"/>
        <v/>
      </c>
    </row>
    <row r="30" spans="1:15" x14ac:dyDescent="0.2">
      <c r="A30" s="11"/>
      <c r="B30" s="11"/>
      <c r="C30" s="11"/>
      <c r="D30" s="11"/>
      <c r="E30" s="7"/>
      <c r="F30" s="13" t="s">
        <v>13</v>
      </c>
      <c r="G30" s="13"/>
      <c r="H30" s="2"/>
      <c r="I30" s="13" t="str">
        <f t="shared" si="0"/>
        <v/>
      </c>
      <c r="J30" s="8" t="str">
        <f t="shared" si="3"/>
        <v/>
      </c>
    </row>
    <row r="31" spans="1:15" x14ac:dyDescent="0.2">
      <c r="A31" s="11"/>
      <c r="B31" s="11"/>
      <c r="C31" s="11"/>
      <c r="D31" s="11"/>
      <c r="E31" s="7"/>
      <c r="F31" s="13" t="s">
        <v>13</v>
      </c>
      <c r="G31" s="13"/>
      <c r="H31" s="2"/>
      <c r="I31" s="13" t="str">
        <f t="shared" si="0"/>
        <v/>
      </c>
      <c r="J31" s="8" t="str">
        <f t="shared" si="3"/>
        <v/>
      </c>
    </row>
    <row r="32" spans="1:15" x14ac:dyDescent="0.2">
      <c r="A32" s="11"/>
      <c r="B32" s="11"/>
      <c r="C32" s="11"/>
      <c r="D32" s="11"/>
      <c r="E32" s="7"/>
      <c r="F32" s="13" t="s">
        <v>13</v>
      </c>
      <c r="G32" s="13"/>
      <c r="H32" s="2"/>
      <c r="I32" s="13" t="str">
        <f t="shared" si="0"/>
        <v/>
      </c>
      <c r="J32" s="8" t="str">
        <f t="shared" si="3"/>
        <v/>
      </c>
    </row>
    <row r="33" spans="1:10" x14ac:dyDescent="0.2">
      <c r="A33" s="11"/>
      <c r="B33" s="11"/>
      <c r="C33" s="11"/>
      <c r="D33" s="11"/>
      <c r="E33" s="7"/>
      <c r="F33" s="13" t="s">
        <v>13</v>
      </c>
      <c r="G33" s="13"/>
      <c r="H33" s="2"/>
      <c r="I33" s="13" t="str">
        <f t="shared" si="0"/>
        <v/>
      </c>
      <c r="J33" s="8" t="str">
        <f t="shared" si="3"/>
        <v/>
      </c>
    </row>
    <row r="34" spans="1:10" x14ac:dyDescent="0.2">
      <c r="A34" s="11"/>
      <c r="B34" s="11"/>
      <c r="C34" s="11"/>
      <c r="D34" s="11"/>
      <c r="E34" s="7"/>
      <c r="F34" s="13" t="s">
        <v>13</v>
      </c>
      <c r="G34" s="13"/>
      <c r="H34" s="2"/>
      <c r="I34" s="13" t="str">
        <f t="shared" si="0"/>
        <v/>
      </c>
      <c r="J34" s="8" t="str">
        <f t="shared" si="3"/>
        <v/>
      </c>
    </row>
    <row r="35" spans="1:10" x14ac:dyDescent="0.2">
      <c r="A35" s="11"/>
      <c r="B35" s="11"/>
      <c r="C35" s="11"/>
      <c r="D35" s="11"/>
      <c r="E35" s="7"/>
      <c r="F35" s="13" t="s">
        <v>13</v>
      </c>
      <c r="G35" s="13"/>
      <c r="H35" s="2"/>
      <c r="I35" s="13" t="str">
        <f t="shared" si="0"/>
        <v/>
      </c>
      <c r="J35" s="8" t="str">
        <f t="shared" si="3"/>
        <v/>
      </c>
    </row>
    <row r="36" spans="1:10" x14ac:dyDescent="0.2">
      <c r="A36" s="11"/>
      <c r="B36" s="11"/>
      <c r="C36" s="11"/>
      <c r="D36" s="11"/>
      <c r="E36" s="7"/>
      <c r="F36" s="13" t="s">
        <v>13</v>
      </c>
      <c r="G36" s="13"/>
      <c r="H36" s="2"/>
      <c r="I36" s="13" t="str">
        <f t="shared" si="0"/>
        <v/>
      </c>
      <c r="J36" s="8" t="str">
        <f t="shared" si="3"/>
        <v/>
      </c>
    </row>
    <row r="37" spans="1:10" x14ac:dyDescent="0.2">
      <c r="A37" s="11"/>
      <c r="B37" s="11"/>
      <c r="C37" s="11"/>
      <c r="D37" s="11"/>
      <c r="E37" s="7"/>
      <c r="F37" s="13" t="s">
        <v>13</v>
      </c>
      <c r="G37" s="13"/>
      <c r="H37" s="2"/>
      <c r="I37" s="13" t="str">
        <f t="shared" si="0"/>
        <v/>
      </c>
      <c r="J37" s="8" t="str">
        <f t="shared" si="3"/>
        <v/>
      </c>
    </row>
    <row r="38" spans="1:10" x14ac:dyDescent="0.2">
      <c r="A38" s="11"/>
      <c r="B38" s="11"/>
      <c r="C38" s="11"/>
      <c r="D38" s="11"/>
      <c r="E38" s="7"/>
      <c r="F38" s="13" t="s">
        <v>13</v>
      </c>
      <c r="G38" s="13"/>
      <c r="H38" s="2"/>
      <c r="I38" s="13" t="str">
        <f t="shared" si="0"/>
        <v/>
      </c>
      <c r="J38" s="8" t="str">
        <f t="shared" si="3"/>
        <v/>
      </c>
    </row>
    <row r="39" spans="1:10" x14ac:dyDescent="0.2">
      <c r="A39" s="11"/>
      <c r="B39" s="11"/>
      <c r="C39" s="11"/>
      <c r="D39" s="11"/>
      <c r="E39" s="7"/>
      <c r="F39" s="13" t="s">
        <v>13</v>
      </c>
      <c r="G39" s="13"/>
      <c r="H39" s="2"/>
      <c r="I39" s="13" t="str">
        <f t="shared" si="0"/>
        <v/>
      </c>
      <c r="J39" s="8" t="str">
        <f t="shared" si="3"/>
        <v/>
      </c>
    </row>
    <row r="40" spans="1:10" x14ac:dyDescent="0.2">
      <c r="A40" s="11"/>
      <c r="B40" s="11"/>
      <c r="C40" s="11"/>
      <c r="D40" s="11"/>
      <c r="E40" s="7"/>
      <c r="F40" s="13" t="s">
        <v>13</v>
      </c>
      <c r="G40" s="13"/>
      <c r="H40" s="2"/>
      <c r="I40" s="13" t="str">
        <f t="shared" si="0"/>
        <v/>
      </c>
      <c r="J40" s="8" t="str">
        <f t="shared" si="3"/>
        <v/>
      </c>
    </row>
    <row r="41" spans="1:10" x14ac:dyDescent="0.2">
      <c r="A41" s="11"/>
      <c r="B41" s="11"/>
      <c r="C41" s="11"/>
      <c r="D41" s="11"/>
      <c r="E41" s="7"/>
      <c r="F41" s="13"/>
      <c r="G41" s="13"/>
      <c r="H41" s="2"/>
      <c r="I41" s="13"/>
      <c r="J41" s="17"/>
    </row>
    <row r="42" spans="1:10" x14ac:dyDescent="0.2">
      <c r="A42" s="18" t="s">
        <v>32</v>
      </c>
      <c r="B42" s="18"/>
      <c r="C42" s="18" t="s">
        <v>7</v>
      </c>
      <c r="D42" s="18"/>
      <c r="E42" s="19">
        <f>SUM(E2:E40)</f>
        <v>5324</v>
      </c>
      <c r="F42" s="19" t="s">
        <v>13</v>
      </c>
      <c r="G42" s="19"/>
      <c r="H42" s="12"/>
      <c r="I42" s="13">
        <f>SUM(I2:I41)</f>
        <v>1180</v>
      </c>
      <c r="J42" s="17">
        <f>SUM(J2:J41)</f>
        <v>168.57142857142858</v>
      </c>
    </row>
  </sheetData>
  <mergeCells count="9">
    <mergeCell ref="K2:K7"/>
    <mergeCell ref="K8:K9"/>
    <mergeCell ref="M16:N16"/>
    <mergeCell ref="B12:B14"/>
    <mergeCell ref="K12:K20"/>
    <mergeCell ref="B15:B17"/>
    <mergeCell ref="B18:B20"/>
    <mergeCell ref="M8:O8"/>
    <mergeCell ref="O10:O13"/>
  </mergeCells>
  <hyperlinks>
    <hyperlink ref="D5" r:id="rId1" display="https://www.airbnb.it/rooms/1479049015547427423?adults=8&amp;check_in=2027-02-17&amp;check_out=2027-02-24&amp;guests=8&amp;search_mode=regular_search&amp;source_impression_id=p3_1773134478_P3NNdHT8oPlcO6n8&amp;previous_page_section_name=1000&amp;federated_search_id=19937708-74b9-4b28-9304-0a6b2a992285" xr:uid="{62CBA9DC-6338-3C46-8C9E-CCEB23F21E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6BD0-EC03-154B-A18F-750332E1F9BF}">
  <dimension ref="A1:C16"/>
  <sheetViews>
    <sheetView workbookViewId="0">
      <selection activeCell="C13" sqref="C13"/>
    </sheetView>
  </sheetViews>
  <sheetFormatPr baseColWidth="10" defaultRowHeight="16" x14ac:dyDescent="0.2"/>
  <cols>
    <col min="1" max="1" width="14.33203125" customWidth="1"/>
  </cols>
  <sheetData>
    <row r="1" spans="1:3" x14ac:dyDescent="0.2">
      <c r="B1">
        <f>COUNTIFS(B3:B23,"x")</f>
        <v>7</v>
      </c>
      <c r="C1">
        <f>SUM(C3:C26)</f>
        <v>7</v>
      </c>
    </row>
    <row r="2" spans="1:3" x14ac:dyDescent="0.2">
      <c r="A2" t="s">
        <v>9</v>
      </c>
      <c r="B2" t="s">
        <v>53</v>
      </c>
      <c r="C2" t="s">
        <v>54</v>
      </c>
    </row>
    <row r="3" spans="1:3" x14ac:dyDescent="0.2">
      <c r="A3" t="s">
        <v>41</v>
      </c>
      <c r="B3" t="s">
        <v>16</v>
      </c>
      <c r="C3">
        <f>IF(B3="x",1,"")</f>
        <v>1</v>
      </c>
    </row>
    <row r="4" spans="1:3" x14ac:dyDescent="0.2">
      <c r="A4" t="s">
        <v>55</v>
      </c>
      <c r="B4" t="s">
        <v>16</v>
      </c>
      <c r="C4">
        <f t="shared" ref="C4:C16" si="0">IF(B4="x",1,"")</f>
        <v>1</v>
      </c>
    </row>
    <row r="5" spans="1:3" x14ac:dyDescent="0.2">
      <c r="A5" t="s">
        <v>42</v>
      </c>
      <c r="B5" t="s">
        <v>16</v>
      </c>
      <c r="C5">
        <f t="shared" si="0"/>
        <v>1</v>
      </c>
    </row>
    <row r="6" spans="1:3" x14ac:dyDescent="0.2">
      <c r="A6" t="s">
        <v>56</v>
      </c>
      <c r="B6" t="s">
        <v>16</v>
      </c>
      <c r="C6">
        <f t="shared" si="0"/>
        <v>1</v>
      </c>
    </row>
    <row r="7" spans="1:3" x14ac:dyDescent="0.2">
      <c r="A7" t="s">
        <v>40</v>
      </c>
      <c r="B7" t="s">
        <v>16</v>
      </c>
      <c r="C7">
        <f t="shared" si="0"/>
        <v>1</v>
      </c>
    </row>
    <row r="8" spans="1:3" x14ac:dyDescent="0.2">
      <c r="A8" t="s">
        <v>57</v>
      </c>
      <c r="C8" t="str">
        <f t="shared" si="0"/>
        <v/>
      </c>
    </row>
    <row r="9" spans="1:3" x14ac:dyDescent="0.2">
      <c r="A9" t="s">
        <v>58</v>
      </c>
      <c r="C9" t="str">
        <f t="shared" si="0"/>
        <v/>
      </c>
    </row>
    <row r="10" spans="1:3" x14ac:dyDescent="0.2">
      <c r="A10" t="s">
        <v>59</v>
      </c>
      <c r="C10" t="str">
        <f t="shared" si="0"/>
        <v/>
      </c>
    </row>
    <row r="11" spans="1:3" x14ac:dyDescent="0.2">
      <c r="A11" t="s">
        <v>60</v>
      </c>
      <c r="C11" t="str">
        <f t="shared" si="0"/>
        <v/>
      </c>
    </row>
    <row r="12" spans="1:3" x14ac:dyDescent="0.2">
      <c r="A12" t="s">
        <v>44</v>
      </c>
      <c r="B12" t="s">
        <v>16</v>
      </c>
      <c r="C12">
        <f t="shared" si="0"/>
        <v>1</v>
      </c>
    </row>
    <row r="13" spans="1:3" x14ac:dyDescent="0.2">
      <c r="A13" t="s">
        <v>68</v>
      </c>
      <c r="B13" t="s">
        <v>16</v>
      </c>
      <c r="C13">
        <f t="shared" si="0"/>
        <v>1</v>
      </c>
    </row>
    <row r="14" spans="1:3" x14ac:dyDescent="0.2">
      <c r="C14" t="str">
        <f t="shared" si="0"/>
        <v/>
      </c>
    </row>
    <row r="15" spans="1:3" x14ac:dyDescent="0.2">
      <c r="C15" t="str">
        <f t="shared" si="0"/>
        <v/>
      </c>
    </row>
    <row r="16" spans="1:3" x14ac:dyDescent="0.2">
      <c r="C16" t="str">
        <f t="shared" si="0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6E01-BC47-8A44-BE89-53CFE6F1F01D}">
  <sheetPr>
    <tabColor theme="9" tint="0.59999389629810485"/>
  </sheetPr>
  <dimension ref="A1:R42"/>
  <sheetViews>
    <sheetView workbookViewId="0">
      <selection activeCell="E22" sqref="E22"/>
    </sheetView>
  </sheetViews>
  <sheetFormatPr baseColWidth="10" defaultRowHeight="16" x14ac:dyDescent="0.2"/>
  <cols>
    <col min="2" max="2" width="10.1640625" customWidth="1"/>
    <col min="3" max="3" width="27.6640625" bestFit="1" customWidth="1"/>
    <col min="4" max="4" width="11.83203125" customWidth="1"/>
    <col min="5" max="5" width="12" bestFit="1" customWidth="1"/>
    <col min="8" max="8" width="10.83203125" style="10"/>
    <col min="9" max="9" width="10.83203125" style="4"/>
    <col min="10" max="10" width="13.1640625" style="4" bestFit="1" customWidth="1"/>
    <col min="12" max="12" width="3.5" customWidth="1"/>
    <col min="13" max="13" width="17.33203125" customWidth="1"/>
    <col min="14" max="14" width="17.83203125" style="10" customWidth="1"/>
    <col min="15" max="15" width="10.83203125" style="4"/>
    <col min="17" max="17" width="3.6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50</v>
      </c>
      <c r="E1" s="2" t="s">
        <v>3</v>
      </c>
      <c r="F1" s="3" t="s">
        <v>4</v>
      </c>
      <c r="G1" s="3" t="s">
        <v>39</v>
      </c>
      <c r="H1" s="2" t="s">
        <v>5</v>
      </c>
      <c r="I1" s="3" t="s">
        <v>3</v>
      </c>
      <c r="J1" s="3" t="s">
        <v>6</v>
      </c>
      <c r="M1" s="3" t="s">
        <v>7</v>
      </c>
      <c r="N1" s="3" t="s">
        <v>8</v>
      </c>
      <c r="P1" s="5" t="s">
        <v>9</v>
      </c>
      <c r="R1" s="5" t="s">
        <v>66</v>
      </c>
    </row>
    <row r="2" spans="1:18" x14ac:dyDescent="0.2">
      <c r="A2" s="6" t="s">
        <v>11</v>
      </c>
      <c r="B2" s="6" t="s">
        <v>12</v>
      </c>
      <c r="C2" s="6" t="s">
        <v>51</v>
      </c>
      <c r="D2" s="6" t="s">
        <v>49</v>
      </c>
      <c r="E2" s="7">
        <v>1586</v>
      </c>
      <c r="F2" s="8" t="s">
        <v>13</v>
      </c>
      <c r="G2" s="8"/>
      <c r="H2" s="2"/>
      <c r="I2" s="8" t="str">
        <f t="shared" ref="I2:I40" si="0">IF(H2="x",E2,"")</f>
        <v/>
      </c>
      <c r="J2" s="8" t="str">
        <f>IF(H2&lt;&gt;"",I2/$P$2,"")</f>
        <v/>
      </c>
      <c r="K2" s="27">
        <f>SUM(J2:J7)</f>
        <v>157.14285714285714</v>
      </c>
      <c r="M2" s="9">
        <f>SUM(I2:I41)</f>
        <v>4955.0200000000004</v>
      </c>
      <c r="N2" s="9">
        <f>M2/$P$2</f>
        <v>707.86</v>
      </c>
      <c r="P2" s="2">
        <f>IF(R2&lt;&gt;"",R2,'[1]Quanti siamo'!C1)</f>
        <v>7</v>
      </c>
      <c r="R2" s="25"/>
    </row>
    <row r="3" spans="1:18" x14ac:dyDescent="0.2">
      <c r="A3" s="6" t="s">
        <v>14</v>
      </c>
      <c r="B3" s="6" t="s">
        <v>12</v>
      </c>
      <c r="C3" s="6" t="s">
        <v>52</v>
      </c>
      <c r="D3" s="6" t="s">
        <v>49</v>
      </c>
      <c r="E3" s="7">
        <v>1875</v>
      </c>
      <c r="F3" s="8" t="s">
        <v>13</v>
      </c>
      <c r="G3" s="8"/>
      <c r="H3" s="2"/>
      <c r="I3" s="8" t="str">
        <f t="shared" si="0"/>
        <v/>
      </c>
      <c r="J3" s="8" t="str">
        <f t="shared" ref="J3:J9" si="1">IF(I3&lt;&gt;"",I3/$P$2,"")</f>
        <v/>
      </c>
      <c r="K3" s="28"/>
    </row>
    <row r="4" spans="1:18" x14ac:dyDescent="0.2">
      <c r="A4" s="6" t="s">
        <v>14</v>
      </c>
      <c r="B4" s="6" t="s">
        <v>12</v>
      </c>
      <c r="C4" s="6" t="s">
        <v>52</v>
      </c>
      <c r="D4" s="24" t="s">
        <v>61</v>
      </c>
      <c r="E4" s="26">
        <v>1100</v>
      </c>
      <c r="F4" s="8" t="s">
        <v>13</v>
      </c>
      <c r="G4" s="8" t="s">
        <v>69</v>
      </c>
      <c r="H4" s="2" t="s">
        <v>16</v>
      </c>
      <c r="I4" s="8">
        <f t="shared" si="0"/>
        <v>1100</v>
      </c>
      <c r="J4" s="8">
        <f t="shared" si="1"/>
        <v>157.14285714285714</v>
      </c>
      <c r="K4" s="28"/>
      <c r="N4" s="5" t="s">
        <v>67</v>
      </c>
      <c r="O4" s="5" t="s">
        <v>43</v>
      </c>
      <c r="P4" s="5" t="s">
        <v>10</v>
      </c>
    </row>
    <row r="5" spans="1:18" x14ac:dyDescent="0.2">
      <c r="A5" s="6" t="s">
        <v>14</v>
      </c>
      <c r="B5" s="6" t="s">
        <v>12</v>
      </c>
      <c r="C5" s="6" t="s">
        <v>62</v>
      </c>
      <c r="D5" s="6" t="s">
        <v>63</v>
      </c>
      <c r="E5" s="7">
        <v>573</v>
      </c>
      <c r="F5" s="8" t="s">
        <v>13</v>
      </c>
      <c r="G5" s="8"/>
      <c r="H5" s="2"/>
      <c r="I5" s="8" t="str">
        <f t="shared" si="0"/>
        <v/>
      </c>
      <c r="J5" s="8" t="str">
        <f t="shared" si="1"/>
        <v/>
      </c>
      <c r="K5" s="28"/>
      <c r="N5" s="2"/>
      <c r="O5" s="2">
        <v>5</v>
      </c>
      <c r="P5" s="2">
        <v>2</v>
      </c>
    </row>
    <row r="6" spans="1:18" x14ac:dyDescent="0.2">
      <c r="A6" s="6" t="s">
        <v>14</v>
      </c>
      <c r="B6" s="6" t="s">
        <v>12</v>
      </c>
      <c r="C6" s="6" t="s">
        <v>62</v>
      </c>
      <c r="D6" s="24" t="s">
        <v>64</v>
      </c>
      <c r="E6" s="7">
        <v>817</v>
      </c>
      <c r="F6" s="8" t="s">
        <v>13</v>
      </c>
      <c r="G6" s="8"/>
      <c r="H6" s="2"/>
      <c r="I6" s="8" t="str">
        <f t="shared" si="0"/>
        <v/>
      </c>
      <c r="J6" s="8" t="str">
        <f t="shared" si="1"/>
        <v/>
      </c>
      <c r="K6" s="28"/>
      <c r="N6" s="2"/>
    </row>
    <row r="7" spans="1:18" x14ac:dyDescent="0.2">
      <c r="A7" s="6" t="s">
        <v>14</v>
      </c>
      <c r="B7" s="6" t="s">
        <v>12</v>
      </c>
      <c r="C7" s="6" t="s">
        <v>65</v>
      </c>
      <c r="D7" s="24" t="s">
        <v>64</v>
      </c>
      <c r="E7" s="7">
        <v>1194</v>
      </c>
      <c r="F7" s="8" t="s">
        <v>13</v>
      </c>
      <c r="G7" s="8"/>
      <c r="H7" s="2"/>
      <c r="I7" s="8" t="str">
        <f t="shared" si="0"/>
        <v/>
      </c>
      <c r="J7" s="8" t="str">
        <f t="shared" si="1"/>
        <v/>
      </c>
      <c r="K7" s="29"/>
      <c r="M7" s="16"/>
    </row>
    <row r="8" spans="1:18" x14ac:dyDescent="0.2">
      <c r="A8" s="6" t="s">
        <v>14</v>
      </c>
      <c r="B8" s="6" t="s">
        <v>15</v>
      </c>
      <c r="C8" s="6"/>
      <c r="D8" s="6"/>
      <c r="E8" s="7">
        <f>328*2</f>
        <v>656</v>
      </c>
      <c r="F8" s="8" t="s">
        <v>13</v>
      </c>
      <c r="G8" s="8"/>
      <c r="H8" s="2"/>
      <c r="I8" s="8" t="str">
        <f t="shared" si="0"/>
        <v/>
      </c>
      <c r="J8" s="8" t="str">
        <f t="shared" si="1"/>
        <v/>
      </c>
      <c r="K8" s="27">
        <f>SUM(J8:J9)</f>
        <v>300.63714285714286</v>
      </c>
      <c r="M8" s="32" t="s">
        <v>48</v>
      </c>
      <c r="N8" s="32"/>
      <c r="O8" s="32"/>
    </row>
    <row r="9" spans="1:18" x14ac:dyDescent="0.2">
      <c r="A9" s="6" t="s">
        <v>14</v>
      </c>
      <c r="B9" s="6" t="s">
        <v>15</v>
      </c>
      <c r="C9" s="6" t="s">
        <v>47</v>
      </c>
      <c r="D9" s="6"/>
      <c r="E9" s="26">
        <f>O16</f>
        <v>2104.46</v>
      </c>
      <c r="F9" s="8" t="s">
        <v>13</v>
      </c>
      <c r="G9" s="8" t="s">
        <v>55</v>
      </c>
      <c r="H9" s="2" t="s">
        <v>16</v>
      </c>
      <c r="I9" s="8">
        <f t="shared" si="0"/>
        <v>2104.46</v>
      </c>
      <c r="J9" s="8">
        <f t="shared" si="1"/>
        <v>300.63714285714286</v>
      </c>
      <c r="K9" s="29"/>
      <c r="M9" s="20" t="s">
        <v>34</v>
      </c>
      <c r="N9" s="20" t="s">
        <v>17</v>
      </c>
      <c r="O9" s="21" t="s">
        <v>18</v>
      </c>
    </row>
    <row r="10" spans="1:18" x14ac:dyDescent="0.2">
      <c r="A10" s="11" t="s">
        <v>11</v>
      </c>
      <c r="B10" s="11" t="s">
        <v>20</v>
      </c>
      <c r="C10" s="11" t="s">
        <v>21</v>
      </c>
      <c r="D10" s="11"/>
      <c r="E10" s="7"/>
      <c r="F10" s="13" t="s">
        <v>13</v>
      </c>
      <c r="G10" s="13"/>
      <c r="H10" s="2"/>
      <c r="I10" s="13" t="str">
        <f t="shared" si="0"/>
        <v/>
      </c>
      <c r="J10" s="8" t="str">
        <f>IF(I10&lt;&gt;"",I10/$O$5,"")</f>
        <v/>
      </c>
      <c r="M10" s="11" t="s">
        <v>46</v>
      </c>
      <c r="N10" s="14">
        <v>46071.354166666664</v>
      </c>
      <c r="O10" s="33">
        <v>300.64</v>
      </c>
    </row>
    <row r="11" spans="1:18" x14ac:dyDescent="0.2">
      <c r="A11" s="11" t="s">
        <v>11</v>
      </c>
      <c r="B11" s="11" t="s">
        <v>22</v>
      </c>
      <c r="C11" s="11" t="s">
        <v>23</v>
      </c>
      <c r="D11" s="11"/>
      <c r="E11" s="7">
        <v>173.56</v>
      </c>
      <c r="F11" s="13" t="s">
        <v>13</v>
      </c>
      <c r="G11" s="13"/>
      <c r="H11" s="2" t="s">
        <v>16</v>
      </c>
      <c r="I11" s="13">
        <f t="shared" si="0"/>
        <v>173.56</v>
      </c>
      <c r="J11" s="8">
        <f t="shared" ref="J11:J20" si="2">IF(I11&lt;&gt;"",I11/$P$2,"")</f>
        <v>24.794285714285714</v>
      </c>
      <c r="M11" s="11" t="s">
        <v>33</v>
      </c>
      <c r="N11" s="14">
        <v>46071.524305555555</v>
      </c>
      <c r="O11" s="33"/>
    </row>
    <row r="12" spans="1:18" x14ac:dyDescent="0.2">
      <c r="A12" s="11" t="s">
        <v>10</v>
      </c>
      <c r="B12" s="31" t="s">
        <v>38</v>
      </c>
      <c r="C12" s="11" t="s">
        <v>24</v>
      </c>
      <c r="D12" s="11"/>
      <c r="E12" s="26">
        <v>604</v>
      </c>
      <c r="F12" s="13" t="s">
        <v>13</v>
      </c>
      <c r="G12" s="13"/>
      <c r="H12" s="2" t="s">
        <v>16</v>
      </c>
      <c r="I12" s="13">
        <f t="shared" si="0"/>
        <v>604</v>
      </c>
      <c r="J12" s="8">
        <f t="shared" si="2"/>
        <v>86.285714285714292</v>
      </c>
      <c r="K12" s="27">
        <f>SUM(J12:J20)</f>
        <v>175.42857142857144</v>
      </c>
      <c r="M12" s="11" t="s">
        <v>33</v>
      </c>
      <c r="N12" s="14">
        <v>46078.559027777781</v>
      </c>
      <c r="O12" s="33"/>
    </row>
    <row r="13" spans="1:18" x14ac:dyDescent="0.2">
      <c r="A13" s="11" t="s">
        <v>10</v>
      </c>
      <c r="B13" s="31"/>
      <c r="C13" s="11" t="s">
        <v>25</v>
      </c>
      <c r="D13" s="11"/>
      <c r="E13" s="7">
        <v>91</v>
      </c>
      <c r="F13" s="13" t="s">
        <v>13</v>
      </c>
      <c r="G13" s="13"/>
      <c r="H13" s="2"/>
      <c r="I13" s="13" t="str">
        <f t="shared" si="0"/>
        <v/>
      </c>
      <c r="J13" s="8" t="str">
        <f t="shared" si="2"/>
        <v/>
      </c>
      <c r="K13" s="28"/>
      <c r="M13" s="11" t="s">
        <v>46</v>
      </c>
      <c r="N13" s="14">
        <v>46078.729166666664</v>
      </c>
      <c r="O13" s="33"/>
    </row>
    <row r="14" spans="1:18" x14ac:dyDescent="0.2">
      <c r="A14" s="11" t="s">
        <v>10</v>
      </c>
      <c r="B14" s="31"/>
      <c r="C14" s="11" t="s">
        <v>26</v>
      </c>
      <c r="D14" s="11"/>
      <c r="E14" s="7"/>
      <c r="F14" s="13" t="s">
        <v>13</v>
      </c>
      <c r="G14" s="13"/>
      <c r="H14" s="2"/>
      <c r="I14" s="13" t="str">
        <f t="shared" si="0"/>
        <v/>
      </c>
      <c r="J14" s="8" t="str">
        <f t="shared" si="2"/>
        <v/>
      </c>
      <c r="K14" s="28"/>
      <c r="M14" s="11" t="s">
        <v>19</v>
      </c>
      <c r="N14" s="15"/>
      <c r="O14" s="13"/>
    </row>
    <row r="15" spans="1:18" x14ac:dyDescent="0.2">
      <c r="A15" s="11" t="s">
        <v>10</v>
      </c>
      <c r="B15" s="31" t="s">
        <v>27</v>
      </c>
      <c r="C15" s="11" t="s">
        <v>28</v>
      </c>
      <c r="D15" s="11"/>
      <c r="E15" s="26">
        <v>624</v>
      </c>
      <c r="F15" s="13" t="s">
        <v>13</v>
      </c>
      <c r="G15" s="13"/>
      <c r="H15" s="2" t="s">
        <v>16</v>
      </c>
      <c r="I15" s="13">
        <f t="shared" si="0"/>
        <v>624</v>
      </c>
      <c r="J15" s="8">
        <f t="shared" si="2"/>
        <v>89.142857142857139</v>
      </c>
      <c r="K15" s="28"/>
    </row>
    <row r="16" spans="1:18" x14ac:dyDescent="0.2">
      <c r="A16" s="11" t="s">
        <v>10</v>
      </c>
      <c r="B16" s="31"/>
      <c r="C16" s="11" t="s">
        <v>29</v>
      </c>
      <c r="D16" s="11"/>
      <c r="E16" s="7">
        <v>98</v>
      </c>
      <c r="F16" s="13" t="s">
        <v>13</v>
      </c>
      <c r="G16" s="13"/>
      <c r="H16" s="2"/>
      <c r="I16" s="13" t="str">
        <f t="shared" si="0"/>
        <v/>
      </c>
      <c r="J16" s="8" t="str">
        <f t="shared" si="2"/>
        <v/>
      </c>
      <c r="K16" s="28"/>
      <c r="M16" s="30" t="str">
        <f>"Volo "&amp;P2&amp;" persone totale con bagaglio sportivo"</f>
        <v>Volo 7 persone totale con bagaglio sportivo</v>
      </c>
      <c r="N16" s="30"/>
      <c r="O16" s="22">
        <v>2104.46</v>
      </c>
    </row>
    <row r="17" spans="1:15" x14ac:dyDescent="0.2">
      <c r="A17" s="11" t="s">
        <v>10</v>
      </c>
      <c r="B17" s="31"/>
      <c r="C17" s="11" t="s">
        <v>30</v>
      </c>
      <c r="D17" s="11"/>
      <c r="E17" s="7"/>
      <c r="F17" s="13" t="s">
        <v>13</v>
      </c>
      <c r="G17" s="13"/>
      <c r="H17" s="2"/>
      <c r="I17" s="13" t="str">
        <f t="shared" si="0"/>
        <v/>
      </c>
      <c r="J17" s="8" t="str">
        <f t="shared" si="2"/>
        <v/>
      </c>
      <c r="K17" s="28"/>
      <c r="O17" s="4">
        <f>O16/P2</f>
        <v>300.63714285714286</v>
      </c>
    </row>
    <row r="18" spans="1:15" x14ac:dyDescent="0.2">
      <c r="A18" s="11" t="s">
        <v>10</v>
      </c>
      <c r="B18" s="31" t="s">
        <v>31</v>
      </c>
      <c r="C18" s="11" t="s">
        <v>35</v>
      </c>
      <c r="D18" s="11"/>
      <c r="E18" s="7">
        <v>433</v>
      </c>
      <c r="F18" s="13" t="s">
        <v>13</v>
      </c>
      <c r="G18" s="13"/>
      <c r="H18" s="2"/>
      <c r="I18" s="13" t="str">
        <f t="shared" si="0"/>
        <v/>
      </c>
      <c r="J18" s="8" t="str">
        <f t="shared" si="2"/>
        <v/>
      </c>
      <c r="K18" s="28"/>
      <c r="M18" s="23"/>
    </row>
    <row r="19" spans="1:15" x14ac:dyDescent="0.2">
      <c r="A19" s="11" t="s">
        <v>10</v>
      </c>
      <c r="B19" s="31"/>
      <c r="C19" s="11" t="s">
        <v>36</v>
      </c>
      <c r="D19" s="11"/>
      <c r="E19" s="7"/>
      <c r="F19" s="13" t="s">
        <v>13</v>
      </c>
      <c r="G19" s="13"/>
      <c r="H19" s="2"/>
      <c r="I19" s="13" t="str">
        <f t="shared" si="0"/>
        <v/>
      </c>
      <c r="J19" s="8" t="str">
        <f t="shared" si="2"/>
        <v/>
      </c>
      <c r="K19" s="28"/>
    </row>
    <row r="20" spans="1:15" x14ac:dyDescent="0.2">
      <c r="A20" s="11" t="s">
        <v>10</v>
      </c>
      <c r="B20" s="31"/>
      <c r="C20" s="11" t="s">
        <v>37</v>
      </c>
      <c r="D20" s="11"/>
      <c r="E20" s="7"/>
      <c r="F20" s="13" t="s">
        <v>13</v>
      </c>
      <c r="G20" s="13"/>
      <c r="H20" s="2"/>
      <c r="I20" s="13" t="str">
        <f t="shared" si="0"/>
        <v/>
      </c>
      <c r="J20" s="8" t="str">
        <f t="shared" si="2"/>
        <v/>
      </c>
      <c r="K20" s="29"/>
    </row>
    <row r="21" spans="1:15" x14ac:dyDescent="0.2">
      <c r="A21" s="11" t="s">
        <v>10</v>
      </c>
      <c r="B21" s="11"/>
      <c r="C21" s="11" t="s">
        <v>45</v>
      </c>
      <c r="D21" s="11"/>
      <c r="E21" s="7">
        <f>77+50</f>
        <v>127</v>
      </c>
      <c r="F21" s="13" t="s">
        <v>13</v>
      </c>
      <c r="G21" s="13"/>
      <c r="H21" s="2" t="s">
        <v>16</v>
      </c>
      <c r="I21" s="13">
        <f t="shared" si="0"/>
        <v>127</v>
      </c>
      <c r="J21" s="8">
        <f>IF(I21&lt;&gt;"",I21/$O$5,"")</f>
        <v>25.4</v>
      </c>
    </row>
    <row r="22" spans="1:15" x14ac:dyDescent="0.2">
      <c r="A22" s="11" t="s">
        <v>70</v>
      </c>
      <c r="B22" s="11"/>
      <c r="C22" s="11" t="s">
        <v>70</v>
      </c>
      <c r="D22" s="11"/>
      <c r="E22" s="7">
        <v>222</v>
      </c>
      <c r="F22" s="13" t="s">
        <v>13</v>
      </c>
      <c r="G22" s="13"/>
      <c r="H22" s="2" t="s">
        <v>16</v>
      </c>
      <c r="I22" s="13">
        <f t="shared" si="0"/>
        <v>222</v>
      </c>
      <c r="J22" s="8">
        <f t="shared" ref="J22:J40" si="3">IF(I22&lt;&gt;"",I22/$P$2,"")</f>
        <v>31.714285714285715</v>
      </c>
    </row>
    <row r="23" spans="1:15" x14ac:dyDescent="0.2">
      <c r="A23" s="11"/>
      <c r="B23" s="11"/>
      <c r="C23" s="11"/>
      <c r="D23" s="11"/>
      <c r="E23" s="7"/>
      <c r="F23" s="13" t="s">
        <v>13</v>
      </c>
      <c r="G23" s="13"/>
      <c r="H23" s="2"/>
      <c r="I23" s="13" t="str">
        <f t="shared" si="0"/>
        <v/>
      </c>
      <c r="J23" s="8" t="str">
        <f t="shared" si="3"/>
        <v/>
      </c>
    </row>
    <row r="24" spans="1:15" x14ac:dyDescent="0.2">
      <c r="A24" s="11"/>
      <c r="B24" s="11"/>
      <c r="C24" s="11"/>
      <c r="D24" s="11"/>
      <c r="E24" s="7"/>
      <c r="F24" s="13" t="s">
        <v>13</v>
      </c>
      <c r="G24" s="13"/>
      <c r="H24" s="2"/>
      <c r="I24" s="13" t="str">
        <f t="shared" si="0"/>
        <v/>
      </c>
      <c r="J24" s="8" t="str">
        <f t="shared" si="3"/>
        <v/>
      </c>
    </row>
    <row r="25" spans="1:15" x14ac:dyDescent="0.2">
      <c r="A25" s="11"/>
      <c r="B25" s="11"/>
      <c r="C25" s="11"/>
      <c r="D25" s="11"/>
      <c r="E25" s="7"/>
      <c r="F25" s="13" t="s">
        <v>13</v>
      </c>
      <c r="G25" s="13"/>
      <c r="H25" s="2"/>
      <c r="I25" s="13" t="str">
        <f t="shared" si="0"/>
        <v/>
      </c>
      <c r="J25" s="8" t="str">
        <f t="shared" si="3"/>
        <v/>
      </c>
    </row>
    <row r="26" spans="1:15" x14ac:dyDescent="0.2">
      <c r="A26" s="11"/>
      <c r="B26" s="11"/>
      <c r="C26" s="11"/>
      <c r="D26" s="11"/>
      <c r="E26" s="7"/>
      <c r="F26" s="13" t="s">
        <v>13</v>
      </c>
      <c r="G26" s="13"/>
      <c r="H26" s="2"/>
      <c r="I26" s="13" t="str">
        <f t="shared" si="0"/>
        <v/>
      </c>
      <c r="J26" s="8" t="str">
        <f t="shared" si="3"/>
        <v/>
      </c>
    </row>
    <row r="27" spans="1:15" x14ac:dyDescent="0.2">
      <c r="A27" s="11"/>
      <c r="B27" s="11"/>
      <c r="C27" s="11"/>
      <c r="D27" s="11"/>
      <c r="E27" s="7"/>
      <c r="F27" s="13" t="s">
        <v>13</v>
      </c>
      <c r="G27" s="13"/>
      <c r="H27" s="2"/>
      <c r="I27" s="13" t="str">
        <f t="shared" si="0"/>
        <v/>
      </c>
      <c r="J27" s="8" t="str">
        <f t="shared" si="3"/>
        <v/>
      </c>
    </row>
    <row r="28" spans="1:15" x14ac:dyDescent="0.2">
      <c r="A28" s="11"/>
      <c r="B28" s="11"/>
      <c r="C28" s="11"/>
      <c r="D28" s="11"/>
      <c r="E28" s="7"/>
      <c r="F28" s="13" t="s">
        <v>13</v>
      </c>
      <c r="G28" s="13"/>
      <c r="H28" s="2"/>
      <c r="I28" s="13" t="str">
        <f t="shared" si="0"/>
        <v/>
      </c>
      <c r="J28" s="8" t="str">
        <f t="shared" si="3"/>
        <v/>
      </c>
    </row>
    <row r="29" spans="1:15" x14ac:dyDescent="0.2">
      <c r="A29" s="11"/>
      <c r="B29" s="11"/>
      <c r="C29" s="11"/>
      <c r="D29" s="11"/>
      <c r="E29" s="7"/>
      <c r="F29" s="13" t="s">
        <v>13</v>
      </c>
      <c r="G29" s="13"/>
      <c r="H29" s="2"/>
      <c r="I29" s="13" t="str">
        <f t="shared" si="0"/>
        <v/>
      </c>
      <c r="J29" s="8" t="str">
        <f t="shared" si="3"/>
        <v/>
      </c>
    </row>
    <row r="30" spans="1:15" x14ac:dyDescent="0.2">
      <c r="A30" s="11"/>
      <c r="B30" s="11"/>
      <c r="C30" s="11"/>
      <c r="D30" s="11"/>
      <c r="E30" s="7"/>
      <c r="F30" s="13" t="s">
        <v>13</v>
      </c>
      <c r="G30" s="13"/>
      <c r="H30" s="2"/>
      <c r="I30" s="13" t="str">
        <f t="shared" si="0"/>
        <v/>
      </c>
      <c r="J30" s="8" t="str">
        <f t="shared" si="3"/>
        <v/>
      </c>
    </row>
    <row r="31" spans="1:15" x14ac:dyDescent="0.2">
      <c r="A31" s="11"/>
      <c r="B31" s="11"/>
      <c r="C31" s="11"/>
      <c r="D31" s="11"/>
      <c r="E31" s="7"/>
      <c r="F31" s="13" t="s">
        <v>13</v>
      </c>
      <c r="G31" s="13"/>
      <c r="H31" s="2"/>
      <c r="I31" s="13" t="str">
        <f t="shared" si="0"/>
        <v/>
      </c>
      <c r="J31" s="8" t="str">
        <f t="shared" si="3"/>
        <v/>
      </c>
    </row>
    <row r="32" spans="1:15" x14ac:dyDescent="0.2">
      <c r="A32" s="11"/>
      <c r="B32" s="11"/>
      <c r="C32" s="11"/>
      <c r="D32" s="11"/>
      <c r="E32" s="7"/>
      <c r="F32" s="13" t="s">
        <v>13</v>
      </c>
      <c r="G32" s="13"/>
      <c r="H32" s="2"/>
      <c r="I32" s="13" t="str">
        <f t="shared" si="0"/>
        <v/>
      </c>
      <c r="J32" s="8" t="str">
        <f t="shared" si="3"/>
        <v/>
      </c>
    </row>
    <row r="33" spans="1:10" x14ac:dyDescent="0.2">
      <c r="A33" s="11"/>
      <c r="B33" s="11"/>
      <c r="C33" s="11"/>
      <c r="D33" s="11"/>
      <c r="E33" s="7"/>
      <c r="F33" s="13" t="s">
        <v>13</v>
      </c>
      <c r="G33" s="13"/>
      <c r="H33" s="2"/>
      <c r="I33" s="13" t="str">
        <f t="shared" si="0"/>
        <v/>
      </c>
      <c r="J33" s="8" t="str">
        <f t="shared" si="3"/>
        <v/>
      </c>
    </row>
    <row r="34" spans="1:10" x14ac:dyDescent="0.2">
      <c r="A34" s="11"/>
      <c r="B34" s="11"/>
      <c r="C34" s="11"/>
      <c r="D34" s="11"/>
      <c r="E34" s="7"/>
      <c r="F34" s="13" t="s">
        <v>13</v>
      </c>
      <c r="G34" s="13"/>
      <c r="H34" s="2"/>
      <c r="I34" s="13" t="str">
        <f t="shared" si="0"/>
        <v/>
      </c>
      <c r="J34" s="8" t="str">
        <f t="shared" si="3"/>
        <v/>
      </c>
    </row>
    <row r="35" spans="1:10" x14ac:dyDescent="0.2">
      <c r="A35" s="11"/>
      <c r="B35" s="11"/>
      <c r="C35" s="11"/>
      <c r="D35" s="11"/>
      <c r="E35" s="7"/>
      <c r="F35" s="13" t="s">
        <v>13</v>
      </c>
      <c r="G35" s="13"/>
      <c r="H35" s="2"/>
      <c r="I35" s="13" t="str">
        <f t="shared" si="0"/>
        <v/>
      </c>
      <c r="J35" s="8" t="str">
        <f t="shared" si="3"/>
        <v/>
      </c>
    </row>
    <row r="36" spans="1:10" x14ac:dyDescent="0.2">
      <c r="A36" s="11"/>
      <c r="B36" s="11"/>
      <c r="C36" s="11"/>
      <c r="D36" s="11"/>
      <c r="E36" s="7"/>
      <c r="F36" s="13" t="s">
        <v>13</v>
      </c>
      <c r="G36" s="13"/>
      <c r="H36" s="2"/>
      <c r="I36" s="13" t="str">
        <f t="shared" si="0"/>
        <v/>
      </c>
      <c r="J36" s="8" t="str">
        <f t="shared" si="3"/>
        <v/>
      </c>
    </row>
    <row r="37" spans="1:10" x14ac:dyDescent="0.2">
      <c r="A37" s="11"/>
      <c r="B37" s="11"/>
      <c r="C37" s="11"/>
      <c r="D37" s="11"/>
      <c r="E37" s="7"/>
      <c r="F37" s="13" t="s">
        <v>13</v>
      </c>
      <c r="G37" s="13"/>
      <c r="H37" s="2"/>
      <c r="I37" s="13" t="str">
        <f t="shared" si="0"/>
        <v/>
      </c>
      <c r="J37" s="8" t="str">
        <f t="shared" si="3"/>
        <v/>
      </c>
    </row>
    <row r="38" spans="1:10" x14ac:dyDescent="0.2">
      <c r="A38" s="11"/>
      <c r="B38" s="11"/>
      <c r="C38" s="11"/>
      <c r="D38" s="11"/>
      <c r="E38" s="7"/>
      <c r="F38" s="13" t="s">
        <v>13</v>
      </c>
      <c r="G38" s="13"/>
      <c r="H38" s="2"/>
      <c r="I38" s="13" t="str">
        <f t="shared" si="0"/>
        <v/>
      </c>
      <c r="J38" s="8" t="str">
        <f t="shared" si="3"/>
        <v/>
      </c>
    </row>
    <row r="39" spans="1:10" x14ac:dyDescent="0.2">
      <c r="A39" s="11"/>
      <c r="B39" s="11"/>
      <c r="C39" s="11"/>
      <c r="D39" s="11"/>
      <c r="E39" s="7"/>
      <c r="F39" s="13" t="s">
        <v>13</v>
      </c>
      <c r="G39" s="13"/>
      <c r="H39" s="2"/>
      <c r="I39" s="13" t="str">
        <f t="shared" si="0"/>
        <v/>
      </c>
      <c r="J39" s="8" t="str">
        <f t="shared" si="3"/>
        <v/>
      </c>
    </row>
    <row r="40" spans="1:10" x14ac:dyDescent="0.2">
      <c r="A40" s="11"/>
      <c r="B40" s="11"/>
      <c r="C40" s="11"/>
      <c r="D40" s="11"/>
      <c r="E40" s="7"/>
      <c r="F40" s="13" t="s">
        <v>13</v>
      </c>
      <c r="G40" s="13"/>
      <c r="H40" s="2"/>
      <c r="I40" s="13" t="str">
        <f t="shared" si="0"/>
        <v/>
      </c>
      <c r="J40" s="8" t="str">
        <f t="shared" si="3"/>
        <v/>
      </c>
    </row>
    <row r="41" spans="1:10" x14ac:dyDescent="0.2">
      <c r="A41" s="11"/>
      <c r="B41" s="11"/>
      <c r="C41" s="11"/>
      <c r="D41" s="11"/>
      <c r="E41" s="7"/>
      <c r="F41" s="13"/>
      <c r="G41" s="13"/>
      <c r="H41" s="2"/>
      <c r="I41" s="13"/>
      <c r="J41" s="17"/>
    </row>
    <row r="42" spans="1:10" x14ac:dyDescent="0.2">
      <c r="A42" s="18" t="s">
        <v>32</v>
      </c>
      <c r="B42" s="18"/>
      <c r="C42" s="18" t="s">
        <v>7</v>
      </c>
      <c r="D42" s="18"/>
      <c r="E42" s="19">
        <f>SUM(E2:E40)</f>
        <v>12278.019999999999</v>
      </c>
      <c r="F42" s="19" t="s">
        <v>13</v>
      </c>
      <c r="G42" s="19"/>
      <c r="H42" s="12"/>
      <c r="I42" s="13">
        <f>SUM(I2:I41)</f>
        <v>4955.0200000000004</v>
      </c>
      <c r="J42" s="17">
        <f>SUM(J2:J41)</f>
        <v>715.11714285714277</v>
      </c>
    </row>
  </sheetData>
  <mergeCells count="9">
    <mergeCell ref="K2:K7"/>
    <mergeCell ref="K8:K9"/>
    <mergeCell ref="M8:O8"/>
    <mergeCell ref="O10:O13"/>
    <mergeCell ref="B12:B14"/>
    <mergeCell ref="K12:K20"/>
    <mergeCell ref="B15:B17"/>
    <mergeCell ref="M16:N16"/>
    <mergeCell ref="B18:B20"/>
  </mergeCells>
  <hyperlinks>
    <hyperlink ref="D4" r:id="rId1" display="https://www.airbnb.com/rooms/1210914469594286470?adults=8&amp;check_in=2026-02-18&amp;check_out=2026-02-25&amp;search_mode=regular_search&amp;source_impression_id=p3_1744014878_P33Yi2tdma8dOVQW&amp;previous_page_section_name=1000&amp;federated_search_id=803efe8b-127e-4c99-aef4-638c7f79740c" xr:uid="{5C77D684-6792-B94D-B84A-CE5123D73173}"/>
    <hyperlink ref="D6" r:id="rId2" display="https://www.airbnb.com/rooms/1369595402014278137?adults=3&amp;check_in=2026-02-18&amp;check_out=2026-02-25&amp;search_mode=regular_search&amp;source_impression_id=p3_1744033199_P3PeE9Ec55hzPJF2&amp;previous_page_section_name=1000&amp;federated_search_id=c9446b33-824f-46e9-bfdc-1a9aaf1d0b85" xr:uid="{AD357A5F-F471-744D-BA44-AAAF9FCBB6E9}"/>
    <hyperlink ref="D7" r:id="rId3" display="https://www.airbnb.com/rooms/1369595402014278137?adults=3&amp;check_in=2026-02-18&amp;check_out=2026-02-25&amp;search_mode=regular_search&amp;source_impression_id=p3_1744033199_P3PeE9Ec55hzPJF2&amp;previous_page_section_name=1000&amp;federated_search_id=c9446b33-824f-46e9-bfdc-1a9aaf1d0b85" xr:uid="{88743CFC-303B-714E-BD1B-8206764376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Tromso 17-24feb27</vt:lpstr>
      <vt:lpstr>Quanti siamo</vt:lpstr>
      <vt:lpstr>Tromso 18-25feb26 consuntivo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Rosa</dc:creator>
  <cp:lastModifiedBy>Davide Rosa</cp:lastModifiedBy>
  <dcterms:created xsi:type="dcterms:W3CDTF">2024-11-04T15:58:14Z</dcterms:created>
  <dcterms:modified xsi:type="dcterms:W3CDTF">2026-03-10T09:44:46Z</dcterms:modified>
</cp:coreProperties>
</file>